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80" windowWidth="19140" windowHeight="7340"/>
  </bookViews>
  <sheets>
    <sheet name="Sheet1" sheetId="1" r:id="rId1"/>
    <sheet name="Sheet2" sheetId="2" r:id="rId2"/>
    <sheet name="Sheet3" sheetId="3" r:id="rId3"/>
  </sheets>
  <functionGroups builtInGroupCount="17"/>
  <calcPr calcId="144525" calcOnSave="0"/>
</workbook>
</file>

<file path=xl/calcChain.xml><?xml version="1.0" encoding="utf-8"?>
<calcChain xmlns="http://schemas.openxmlformats.org/spreadsheetml/2006/main">
  <c r="C36" i="1" l="1"/>
  <c r="D36" i="1"/>
  <c r="C37" i="1"/>
  <c r="D37" i="1"/>
  <c r="C38" i="1"/>
  <c r="D38" i="1"/>
  <c r="C39" i="1"/>
  <c r="D39" i="1"/>
  <c r="D35" i="1"/>
  <c r="C35" i="1"/>
  <c r="D30" i="1"/>
  <c r="D31" i="1"/>
  <c r="D32" i="1"/>
  <c r="D33" i="1"/>
  <c r="D29" i="1"/>
  <c r="C30" i="1"/>
  <c r="C31" i="1"/>
  <c r="C32" i="1"/>
  <c r="C33" i="1"/>
  <c r="C29" i="1"/>
  <c r="H36" i="1" l="1"/>
  <c r="I36" i="1" s="1"/>
  <c r="F36" i="1"/>
  <c r="F37" i="1"/>
  <c r="H35" i="1"/>
  <c r="I35" i="1" s="1"/>
  <c r="F39" i="1"/>
  <c r="H39" i="1"/>
  <c r="I39" i="1" s="1"/>
  <c r="F38" i="1"/>
  <c r="F35" i="1"/>
  <c r="H38" i="1"/>
  <c r="I38" i="1" s="1"/>
  <c r="H37" i="1"/>
  <c r="I37" i="1" s="1"/>
</calcChain>
</file>

<file path=xl/sharedStrings.xml><?xml version="1.0" encoding="utf-8"?>
<sst xmlns="http://schemas.openxmlformats.org/spreadsheetml/2006/main" count="45" uniqueCount="21">
  <si>
    <t>REM PHASE</t>
  </si>
  <si>
    <t>Experiment</t>
  </si>
  <si>
    <t>Threshold</t>
  </si>
  <si>
    <t>Twitches</t>
  </si>
  <si>
    <t>Avg Amp</t>
  </si>
  <si>
    <t>Avg Duration</t>
  </si>
  <si>
    <t>Baseline</t>
  </si>
  <si>
    <t>Mean</t>
  </si>
  <si>
    <t>STD</t>
  </si>
  <si>
    <t>Difference of Means</t>
  </si>
  <si>
    <t>STD ERROR</t>
  </si>
  <si>
    <t>Total Phases</t>
  </si>
  <si>
    <t>T-Test</t>
  </si>
  <si>
    <t>Sleep Duration</t>
  </si>
  <si>
    <t>Twitch %</t>
  </si>
  <si>
    <t>File Name</t>
  </si>
  <si>
    <t>Folder Path</t>
  </si>
  <si>
    <t>Ctrl+Q triggers Macro</t>
  </si>
  <si>
    <t>Avg Amp Below</t>
  </si>
  <si>
    <t>Folder\Path</t>
  </si>
  <si>
    <t>File.xlsx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</si>
</sst>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4" fontId="0" fillId="0" borderId="0" xfId="1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tabSelected="1" workbookViewId="0">
      <selection activeCell="D4" sqref="D4"/>
    </sheetView>
  </sheetViews>
  <sheetFormatPr defaultRowHeight="14.5" x14ac:dyDescent="0.35"/>
  <cols>
    <col min="1" max="1" width="11.1796875" style="118" bestFit="1" customWidth="1"/>
    <col min="2" max="2" width="13.1796875" bestFit="1" customWidth="1"/>
    <col min="15" max="15" width="11.81640625" bestFit="1" customWidth="1"/>
  </cols>
  <sheetData>
    <row r="1" spans="1:21" s="117" customFormat="1" x14ac:dyDescent="0.35">
      <c r="A1" s="118"/>
      <c r="B1" s="118" t="s">
        <v>16</v>
      </c>
      <c r="C1" s="118" t="s">
        <v>15</v>
      </c>
    </row>
    <row r="2" spans="1:21" s="117" customFormat="1" x14ac:dyDescent="0.35">
      <c r="A2" s="118" t="s">
        <v>15</v>
      </c>
      <c r="B2" s="117" t="s">
        <v>19</v>
      </c>
      <c r="C2" s="117" t="s">
        <v>20</v>
      </c>
      <c r="F2" s="119"/>
      <c r="H2" s="117" t="s">
        <v>17</v>
      </c>
    </row>
    <row r="3" spans="1:21" s="117" customFormat="1" x14ac:dyDescent="0.35">
      <c r="A3" s="118" t="s">
        <v>15</v>
      </c>
      <c r="B3" s="117" t="s">
        <v>19</v>
      </c>
      <c r="C3" s="117" t="s">
        <v>20</v>
      </c>
    </row>
    <row r="4" spans="1:21" s="117" customFormat="1" x14ac:dyDescent="0.35">
      <c r="A4" s="118"/>
    </row>
    <row r="5" spans="1:21" s="117" customFormat="1" x14ac:dyDescent="0.35"/>
    <row r="6" spans="1:21" s="118" customFormat="1" x14ac:dyDescent="0.35">
      <c r="A6" s="118" t="s">
        <v>0</v>
      </c>
      <c r="C6" s="118">
        <v>1</v>
      </c>
      <c r="D6" s="118">
        <v>2</v>
      </c>
      <c r="E6" s="118">
        <v>3</v>
      </c>
      <c r="F6" s="118">
        <v>4</v>
      </c>
      <c r="G6" s="118">
        <v>5</v>
      </c>
      <c r="H6" s="118">
        <v>6</v>
      </c>
      <c r="I6" s="118">
        <v>7</v>
      </c>
      <c r="J6" s="118">
        <v>8</v>
      </c>
      <c r="K6" s="118">
        <v>9</v>
      </c>
      <c r="L6" s="118">
        <v>10</v>
      </c>
      <c r="M6" s="118">
        <v>11</v>
      </c>
      <c r="N6" s="118">
        <v>12</v>
      </c>
      <c r="O6" s="118">
        <v>13</v>
      </c>
      <c r="P6" s="118">
        <v>14</v>
      </c>
      <c r="Q6" s="118">
        <v>15</v>
      </c>
      <c r="R6" s="118">
        <v>16</v>
      </c>
      <c r="S6" s="118">
        <v>17</v>
      </c>
      <c r="T6" s="118">
        <v>18</v>
      </c>
      <c r="U6" s="118">
        <v>19</v>
      </c>
    </row>
    <row r="7" spans="1:21" x14ac:dyDescent="0.35">
      <c r="A7" s="118" t="s">
        <v>1</v>
      </c>
      <c r="B7" s="118" t="s">
        <v>2</v>
      </c>
      <c r="C7" s="10">
        <v>2.9561240332200901E-2</v>
      </c>
      <c r="D7" s="11">
        <v>3.1343773044645598E-2</v>
      </c>
      <c r="E7" s="19">
        <v>3.0674456432461701E-2</v>
      </c>
      <c r="F7" s="21">
        <v>3.4339173138141402E-2</v>
      </c>
      <c r="G7" s="22">
        <v>2.7493170276283899E-2</v>
      </c>
      <c r="H7" s="23">
        <v>2.62341457447029E-2</v>
      </c>
      <c r="I7" s="24">
        <v>2.2035082988440698E-2</v>
      </c>
      <c r="J7" s="25">
        <v>2.9651299514807401E-2</v>
      </c>
      <c r="K7" s="26">
        <v>2.5543854013084899E-2</v>
      </c>
      <c r="L7" s="27">
        <v>2.9497224367223601E-2</v>
      </c>
      <c r="M7" s="28">
        <v>2.9904086947441001E-2</v>
      </c>
      <c r="N7" s="29">
        <v>2.9614028707146401E-2</v>
      </c>
      <c r="O7" s="30">
        <v>2.7838200551457401E-2</v>
      </c>
      <c r="P7" s="31">
        <v>3.1166308308020099E-2</v>
      </c>
      <c r="Q7" s="32">
        <v>3.13918055966491E-2</v>
      </c>
      <c r="R7">
        <v>2.5294340215623198E-2</v>
      </c>
      <c r="S7">
        <v>2.8471571937203299E-2</v>
      </c>
      <c r="T7">
        <v>2.7649115957319399E-2</v>
      </c>
      <c r="U7">
        <v>2.7506269972770701E-2</v>
      </c>
    </row>
    <row r="8" spans="1:21" x14ac:dyDescent="0.35">
      <c r="B8" s="118" t="s">
        <v>3</v>
      </c>
      <c r="C8" s="10">
        <v>88</v>
      </c>
      <c r="D8" s="11">
        <v>145</v>
      </c>
      <c r="E8" s="19">
        <v>406</v>
      </c>
      <c r="F8" s="21">
        <v>37</v>
      </c>
      <c r="G8" s="22">
        <v>742</v>
      </c>
      <c r="H8" s="23">
        <v>70</v>
      </c>
      <c r="I8" s="24">
        <v>641</v>
      </c>
      <c r="J8" s="25">
        <v>56</v>
      </c>
      <c r="K8" s="26">
        <v>53</v>
      </c>
      <c r="L8" s="27">
        <v>15</v>
      </c>
      <c r="M8" s="28">
        <v>60</v>
      </c>
      <c r="N8" s="29">
        <v>616</v>
      </c>
      <c r="O8" s="30">
        <v>23</v>
      </c>
      <c r="P8" s="31">
        <v>16</v>
      </c>
      <c r="Q8" s="32">
        <v>758</v>
      </c>
      <c r="R8" s="32">
        <v>803</v>
      </c>
      <c r="S8">
        <v>109</v>
      </c>
      <c r="T8">
        <v>320</v>
      </c>
      <c r="U8">
        <v>123</v>
      </c>
    </row>
    <row r="9" spans="1:21" s="42" customFormat="1" x14ac:dyDescent="0.35">
      <c r="A9" s="118"/>
      <c r="B9" s="118" t="s">
        <v>14</v>
      </c>
      <c r="C9" s="44">
        <v>2.8588564574170299E-3</v>
      </c>
      <c r="D9" s="44">
        <v>2.5189924030387801E-3</v>
      </c>
      <c r="E9" s="44">
        <v>7.6105921267856404E-3</v>
      </c>
      <c r="F9" s="44">
        <v>3.7984806077568899E-3</v>
      </c>
      <c r="G9" s="44">
        <v>1.46287638790637E-2</v>
      </c>
      <c r="H9" s="44">
        <v>1.1528721844595399E-2</v>
      </c>
      <c r="I9" s="44">
        <v>1.8211762913882001E-2</v>
      </c>
      <c r="J9" s="44">
        <v>2.07583633213381E-2</v>
      </c>
      <c r="K9" s="44">
        <v>2.07417033186725E-3</v>
      </c>
      <c r="L9" s="44">
        <v>6.6640010662401695E-4</v>
      </c>
      <c r="M9" s="44">
        <v>1.67433026789284E-3</v>
      </c>
      <c r="N9" s="44">
        <v>1.3160450105672E-2</v>
      </c>
      <c r="O9" s="44">
        <v>7.6636012261761897E-4</v>
      </c>
      <c r="P9" s="44">
        <v>7.9968012794882004E-4</v>
      </c>
      <c r="Q9" s="44">
        <v>1.21589662007537E-2</v>
      </c>
      <c r="R9" s="42">
        <v>8.0856546270380702E-3</v>
      </c>
      <c r="S9" s="42">
        <v>4.6123748732667799E-3</v>
      </c>
      <c r="T9" s="42">
        <v>5.1167033186725304E-3</v>
      </c>
      <c r="U9" s="42">
        <v>9.3819615011138408E-3</v>
      </c>
    </row>
    <row r="10" spans="1:21" x14ac:dyDescent="0.35">
      <c r="B10" s="118" t="s">
        <v>4</v>
      </c>
      <c r="C10" s="17">
        <v>3.1968802213668823E-2</v>
      </c>
      <c r="D10" s="18">
        <v>3.2124750316143036E-2</v>
      </c>
      <c r="E10" s="20">
        <v>3.7270944565534592E-2</v>
      </c>
      <c r="F10" s="21">
        <v>4.1949309408664703E-2</v>
      </c>
      <c r="G10" s="22">
        <v>3.3060420304536819E-2</v>
      </c>
      <c r="H10" s="23">
        <v>2.7446387335658073E-2</v>
      </c>
      <c r="I10" s="24">
        <v>2.2456135600805283E-2</v>
      </c>
      <c r="J10" s="25">
        <v>2.978556789457798E-2</v>
      </c>
      <c r="K10" s="26">
        <v>3.6491218954324722E-2</v>
      </c>
      <c r="L10" s="27">
        <v>3.0253404751420021E-2</v>
      </c>
      <c r="M10" s="28">
        <v>3.2592583447694778E-2</v>
      </c>
      <c r="N10" s="29">
        <v>3.3060420304536819E-2</v>
      </c>
      <c r="O10" s="30">
        <v>3.0877185985445976E-2</v>
      </c>
      <c r="P10" s="31">
        <v>3.3840145915746689E-2</v>
      </c>
      <c r="Q10" s="32">
        <v>3.7426892668008804E-2</v>
      </c>
      <c r="R10" s="32">
        <v>3.3996094018220901E-2</v>
      </c>
      <c r="S10">
        <v>2.853800542652607E-2</v>
      </c>
      <c r="T10">
        <v>2.7758277952671051E-2</v>
      </c>
      <c r="U10">
        <v>3.1189076602458954E-2</v>
      </c>
    </row>
    <row r="11" spans="1:21" x14ac:dyDescent="0.35">
      <c r="B11" s="118" t="s">
        <v>5</v>
      </c>
      <c r="C11" s="17">
        <v>4.9980000000000001E-4</v>
      </c>
      <c r="D11" s="18">
        <v>4.9980000000000001E-4</v>
      </c>
      <c r="E11" s="20">
        <v>4.9980000000000001E-4</v>
      </c>
      <c r="F11" s="21">
        <v>4.9980000000000001E-4</v>
      </c>
      <c r="G11" s="22">
        <v>4.9980000000000001E-4</v>
      </c>
      <c r="H11" s="23">
        <v>4.9980000000000001E-4</v>
      </c>
      <c r="I11" s="24">
        <v>4.9980000000000001E-4</v>
      </c>
      <c r="J11" s="25">
        <v>4.9980000000000001E-4</v>
      </c>
      <c r="K11" s="26">
        <v>4.9980000000000001E-4</v>
      </c>
      <c r="L11" s="27">
        <v>4.9980000000000001E-4</v>
      </c>
      <c r="M11" s="28">
        <v>4.9980000000000001E-4</v>
      </c>
      <c r="N11" s="29">
        <v>4.9980000000000001E-4</v>
      </c>
      <c r="O11" s="30">
        <v>4.9980000000000001E-4</v>
      </c>
      <c r="P11" s="31">
        <v>4.9980000000000001E-4</v>
      </c>
      <c r="Q11" s="32">
        <v>4.9980000000000001E-4</v>
      </c>
      <c r="R11" s="32">
        <v>4.9980000000000001E-4</v>
      </c>
      <c r="S11">
        <v>4.9980000000000001E-4</v>
      </c>
      <c r="T11">
        <v>4.9980000000000001E-4</v>
      </c>
      <c r="U11">
        <v>9.9960000000000001E-4</v>
      </c>
    </row>
    <row r="12" spans="1:21" s="117" customFormat="1" x14ac:dyDescent="0.35">
      <c r="A12" s="118"/>
      <c r="B12" s="118" t="s">
        <v>18</v>
      </c>
      <c r="C12" s="117">
        <v>4.7791243689012499E-3</v>
      </c>
      <c r="D12" s="117">
        <v>5.0763724611172997E-3</v>
      </c>
      <c r="E12" s="117">
        <v>5.0674544920269703E-3</v>
      </c>
      <c r="F12" s="117">
        <v>6.27770789335475E-3</v>
      </c>
      <c r="G12" s="117">
        <v>5.3402583106650497E-3</v>
      </c>
      <c r="H12" s="117">
        <v>4.9042496263070603E-3</v>
      </c>
      <c r="I12" s="117">
        <v>4.6911678083606098E-3</v>
      </c>
      <c r="J12" s="117">
        <v>5.1618993123006603E-3</v>
      </c>
      <c r="K12" s="117">
        <v>4.57187634927461E-3</v>
      </c>
      <c r="L12" s="117">
        <v>4.7732670826110503E-3</v>
      </c>
      <c r="M12" s="117">
        <v>5.3552138947263496E-3</v>
      </c>
      <c r="N12" s="117">
        <v>5.2977877185421997E-3</v>
      </c>
      <c r="O12" s="117">
        <v>4.6597081092181799E-3</v>
      </c>
      <c r="P12" s="117">
        <v>4.74036203758358E-3</v>
      </c>
      <c r="Q12" s="117">
        <v>5.3026962808032096E-3</v>
      </c>
      <c r="R12" s="117">
        <v>4.8186682374190496E-3</v>
      </c>
      <c r="S12" s="117">
        <v>4.8586321079138904E-3</v>
      </c>
      <c r="T12" s="117">
        <v>4.8851121665141198E-3</v>
      </c>
      <c r="U12" s="117">
        <v>4.8916044425186597E-3</v>
      </c>
    </row>
    <row r="13" spans="1:21" s="117" customFormat="1" x14ac:dyDescent="0.35">
      <c r="A13" s="118"/>
      <c r="B13" s="118" t="s">
        <v>13</v>
      </c>
      <c r="C13" s="117">
        <v>24.9994961999999</v>
      </c>
      <c r="D13" s="117">
        <v>49.999492199999999</v>
      </c>
      <c r="E13" s="117">
        <v>109.999482599999</v>
      </c>
      <c r="F13" s="117">
        <v>14.999497799999901</v>
      </c>
      <c r="G13" s="117">
        <v>129.99947939999899</v>
      </c>
      <c r="H13" s="117">
        <v>14.999497799999901</v>
      </c>
      <c r="I13" s="117">
        <v>104.9994834</v>
      </c>
      <c r="J13" s="117">
        <v>14.999497799999901</v>
      </c>
      <c r="K13" s="117">
        <v>19.999497000000201</v>
      </c>
      <c r="L13" s="117">
        <v>14.9994978000004</v>
      </c>
      <c r="M13" s="117">
        <v>19.9994969999997</v>
      </c>
      <c r="N13" s="117">
        <v>174.99947220000001</v>
      </c>
      <c r="O13" s="117">
        <v>14.999497799999499</v>
      </c>
      <c r="P13" s="117">
        <v>9.99949860000015</v>
      </c>
      <c r="Q13" s="117">
        <v>234.99946259999999</v>
      </c>
      <c r="R13" s="117">
        <v>179.9994714</v>
      </c>
      <c r="S13" s="117">
        <v>34.999994399999103</v>
      </c>
      <c r="T13" s="117">
        <v>79.999487400000305</v>
      </c>
      <c r="U13" s="117">
        <v>34.999494600000602</v>
      </c>
    </row>
    <row r="14" spans="1:21" x14ac:dyDescent="0.35">
      <c r="E14" s="11"/>
      <c r="R14" s="32"/>
    </row>
    <row r="15" spans="1:21" s="117" customFormat="1" x14ac:dyDescent="0.35"/>
    <row r="16" spans="1:21" s="118" customFormat="1" x14ac:dyDescent="0.35">
      <c r="A16" s="118" t="s">
        <v>0</v>
      </c>
      <c r="C16" s="118">
        <v>1</v>
      </c>
      <c r="D16" s="118">
        <v>2</v>
      </c>
      <c r="E16" s="118">
        <v>3</v>
      </c>
      <c r="F16" s="118">
        <v>4</v>
      </c>
      <c r="G16" s="118">
        <v>5</v>
      </c>
      <c r="H16" s="118">
        <v>6</v>
      </c>
      <c r="I16" s="118">
        <v>7</v>
      </c>
      <c r="J16" s="118">
        <v>8</v>
      </c>
      <c r="K16" s="118">
        <v>9</v>
      </c>
      <c r="L16" s="118">
        <v>10</v>
      </c>
      <c r="M16" s="118">
        <v>11</v>
      </c>
      <c r="N16" s="118">
        <v>12</v>
      </c>
      <c r="O16" s="118">
        <v>13</v>
      </c>
      <c r="P16" s="118">
        <v>14</v>
      </c>
      <c r="Q16" s="118">
        <v>15</v>
      </c>
      <c r="R16" s="118">
        <v>16</v>
      </c>
      <c r="S16" s="118">
        <v>17</v>
      </c>
      <c r="T16" s="118">
        <v>18</v>
      </c>
      <c r="U16" s="118">
        <v>19</v>
      </c>
    </row>
    <row r="17" spans="1:21" x14ac:dyDescent="0.35">
      <c r="A17" s="118" t="s">
        <v>6</v>
      </c>
      <c r="B17" s="118" t="s">
        <v>2</v>
      </c>
      <c r="C17" s="3">
        <v>2.9561240332200901E-2</v>
      </c>
      <c r="D17" s="5">
        <v>3.1343773044645598E-2</v>
      </c>
      <c r="E17" s="6">
        <v>3.0674456432461701E-2</v>
      </c>
      <c r="F17" s="7">
        <v>3.4339173138141402E-2</v>
      </c>
      <c r="G17" s="8">
        <v>2.7493170276283899E-2</v>
      </c>
      <c r="H17" s="9">
        <v>2.62341457447029E-2</v>
      </c>
      <c r="I17" s="33">
        <v>2.2035082988440698E-2</v>
      </c>
      <c r="J17" s="34">
        <v>2.9651299514807401E-2</v>
      </c>
      <c r="K17" s="35">
        <v>2.5543854013084899E-2</v>
      </c>
      <c r="L17" s="36">
        <v>2.9497224367223601E-2</v>
      </c>
      <c r="M17" s="37">
        <v>2.9904086947441001E-2</v>
      </c>
      <c r="N17" s="38">
        <v>2.9614028707146401E-2</v>
      </c>
      <c r="O17" s="39">
        <v>2.7838200551457401E-2</v>
      </c>
      <c r="P17" s="40">
        <v>3.1166308308020099E-2</v>
      </c>
      <c r="Q17" s="41">
        <v>3.13918055966491E-2</v>
      </c>
      <c r="R17">
        <v>2.5294340215623198E-2</v>
      </c>
      <c r="S17">
        <v>2.8471571937203299E-2</v>
      </c>
      <c r="T17">
        <v>2.7649115957319399E-2</v>
      </c>
      <c r="U17">
        <v>2.7506269972770701E-2</v>
      </c>
    </row>
    <row r="18" spans="1:21" x14ac:dyDescent="0.35">
      <c r="B18" s="118" t="s">
        <v>3</v>
      </c>
      <c r="C18" s="4">
        <v>88</v>
      </c>
      <c r="D18">
        <v>145</v>
      </c>
      <c r="E18" s="6">
        <v>406</v>
      </c>
      <c r="F18" s="7">
        <v>37</v>
      </c>
      <c r="G18" s="8">
        <v>742</v>
      </c>
      <c r="H18" s="9">
        <v>70</v>
      </c>
      <c r="I18" s="33">
        <v>641</v>
      </c>
      <c r="J18" s="34">
        <v>56</v>
      </c>
      <c r="K18" s="35">
        <v>53</v>
      </c>
      <c r="L18" s="36">
        <v>15</v>
      </c>
      <c r="M18" s="37">
        <v>60</v>
      </c>
      <c r="N18" s="38">
        <v>616</v>
      </c>
      <c r="O18" s="39">
        <v>23</v>
      </c>
      <c r="P18" s="40">
        <v>16</v>
      </c>
      <c r="Q18" s="41">
        <v>758</v>
      </c>
      <c r="R18" s="41">
        <v>803</v>
      </c>
      <c r="S18">
        <v>109</v>
      </c>
      <c r="T18">
        <v>320</v>
      </c>
      <c r="U18">
        <v>123</v>
      </c>
    </row>
    <row r="19" spans="1:21" s="42" customFormat="1" x14ac:dyDescent="0.35">
      <c r="A19" s="118"/>
      <c r="B19" s="118" t="s">
        <v>14</v>
      </c>
      <c r="C19" s="44">
        <v>2.8588564574170299E-3</v>
      </c>
      <c r="D19" s="44">
        <v>2.5189924030387801E-3</v>
      </c>
      <c r="E19" s="44">
        <v>7.6105921267856404E-3</v>
      </c>
      <c r="F19" s="44">
        <v>3.7984806077568899E-3</v>
      </c>
      <c r="G19" s="44">
        <v>1.46287638790637E-2</v>
      </c>
      <c r="H19" s="44">
        <v>1.1528721844595399E-2</v>
      </c>
      <c r="I19" s="44">
        <v>1.8211762913882001E-2</v>
      </c>
      <c r="J19" s="44">
        <v>2.07583633213381E-2</v>
      </c>
      <c r="K19" s="44">
        <v>2.07417033186725E-3</v>
      </c>
      <c r="L19" s="44">
        <v>6.6640010662401695E-4</v>
      </c>
      <c r="M19" s="44">
        <v>1.67433026789284E-3</v>
      </c>
      <c r="N19" s="44">
        <v>1.3160450105672E-2</v>
      </c>
      <c r="O19" s="44">
        <v>7.6636012261761897E-4</v>
      </c>
      <c r="P19" s="44">
        <v>7.9968012794882004E-4</v>
      </c>
      <c r="Q19" s="44">
        <v>1.21589662007537E-2</v>
      </c>
      <c r="R19" s="42">
        <v>8.0856546270380702E-3</v>
      </c>
      <c r="S19" s="42">
        <v>4.6123748732667799E-3</v>
      </c>
      <c r="T19" s="42">
        <v>5.1167033186725304E-3</v>
      </c>
      <c r="U19" s="42">
        <v>9.3819615011138408E-3</v>
      </c>
    </row>
    <row r="20" spans="1:21" x14ac:dyDescent="0.35">
      <c r="B20" s="118" t="s">
        <v>4</v>
      </c>
      <c r="C20" s="1">
        <v>3.1968802213668823E-2</v>
      </c>
      <c r="D20" s="12">
        <v>3.2124750316143036E-2</v>
      </c>
      <c r="E20" s="13">
        <v>3.7270944565534592E-2</v>
      </c>
      <c r="F20" s="14">
        <v>4.1949309408664703E-2</v>
      </c>
      <c r="G20" s="15">
        <v>3.3060420304536819E-2</v>
      </c>
      <c r="H20" s="16">
        <v>2.7446387335658073E-2</v>
      </c>
      <c r="I20" s="33">
        <v>2.2456135600805283E-2</v>
      </c>
      <c r="J20" s="34">
        <v>2.978556789457798E-2</v>
      </c>
      <c r="K20" s="35">
        <v>3.6491218954324722E-2</v>
      </c>
      <c r="L20" s="36">
        <v>3.0253404751420021E-2</v>
      </c>
      <c r="M20" s="37">
        <v>3.2592583447694778E-2</v>
      </c>
      <c r="N20" s="38">
        <v>3.3060420304536819E-2</v>
      </c>
      <c r="O20" s="39">
        <v>3.0877185985445976E-2</v>
      </c>
      <c r="P20" s="40">
        <v>3.3840145915746689E-2</v>
      </c>
      <c r="Q20" s="41">
        <v>3.7426892668008804E-2</v>
      </c>
      <c r="R20" s="41">
        <v>3.3996094018220901E-2</v>
      </c>
      <c r="S20">
        <v>2.853800542652607E-2</v>
      </c>
      <c r="T20">
        <v>2.7758277952671051E-2</v>
      </c>
      <c r="U20">
        <v>3.1189076602458954E-2</v>
      </c>
    </row>
    <row r="21" spans="1:21" x14ac:dyDescent="0.35">
      <c r="B21" s="118" t="s">
        <v>5</v>
      </c>
      <c r="C21" s="2">
        <v>4.9980000000000001E-4</v>
      </c>
      <c r="D21" s="12">
        <v>4.9980000000000001E-4</v>
      </c>
      <c r="E21" s="13">
        <v>4.9980000000000001E-4</v>
      </c>
      <c r="F21" s="14">
        <v>4.9980000000000001E-4</v>
      </c>
      <c r="G21" s="15">
        <v>4.9980000000000001E-4</v>
      </c>
      <c r="H21" s="16">
        <v>4.9980000000000001E-4</v>
      </c>
      <c r="I21" s="33">
        <v>4.9980000000000001E-4</v>
      </c>
      <c r="J21" s="34">
        <v>4.9980000000000001E-4</v>
      </c>
      <c r="K21" s="35">
        <v>4.9980000000000001E-4</v>
      </c>
      <c r="L21" s="36">
        <v>4.9980000000000001E-4</v>
      </c>
      <c r="M21" s="37">
        <v>4.9980000000000001E-4</v>
      </c>
      <c r="N21" s="38">
        <v>4.9980000000000001E-4</v>
      </c>
      <c r="O21" s="39">
        <v>4.9980000000000001E-4</v>
      </c>
      <c r="P21" s="40">
        <v>4.9980000000000001E-4</v>
      </c>
      <c r="Q21" s="41">
        <v>4.9980000000000001E-4</v>
      </c>
      <c r="R21" s="41">
        <v>4.9980000000000001E-4</v>
      </c>
      <c r="S21">
        <v>4.9980000000000001E-4</v>
      </c>
      <c r="T21">
        <v>4.9980000000000001E-4</v>
      </c>
      <c r="U21">
        <v>9.9960000000000001E-4</v>
      </c>
    </row>
    <row r="22" spans="1:21" s="117" customFormat="1" x14ac:dyDescent="0.35">
      <c r="A22" s="118"/>
      <c r="B22" s="118" t="s">
        <v>18</v>
      </c>
      <c r="C22" s="117">
        <v>4.7791243689012499E-3</v>
      </c>
      <c r="D22" s="117">
        <v>5.0763724611172997E-3</v>
      </c>
      <c r="E22" s="117">
        <v>5.0674544920269703E-3</v>
      </c>
      <c r="F22" s="117">
        <v>6.27770789335475E-3</v>
      </c>
      <c r="G22" s="117">
        <v>5.3402583106650497E-3</v>
      </c>
      <c r="H22" s="117">
        <v>4.9042496263070603E-3</v>
      </c>
      <c r="I22" s="117">
        <v>4.6911678083606098E-3</v>
      </c>
      <c r="J22" s="117">
        <v>5.1618993123006603E-3</v>
      </c>
      <c r="K22" s="117">
        <v>4.57187634927461E-3</v>
      </c>
      <c r="L22" s="117">
        <v>4.7732670826110503E-3</v>
      </c>
      <c r="M22" s="117">
        <v>5.3552138947263496E-3</v>
      </c>
      <c r="N22" s="117">
        <v>5.2977877185421997E-3</v>
      </c>
      <c r="O22" s="117">
        <v>4.6597081092181799E-3</v>
      </c>
      <c r="P22" s="117">
        <v>4.74036203758358E-3</v>
      </c>
      <c r="Q22" s="117">
        <v>5.3026962808032096E-3</v>
      </c>
      <c r="R22" s="117">
        <v>4.8186682374190496E-3</v>
      </c>
      <c r="S22" s="117">
        <v>4.8586321079138904E-3</v>
      </c>
      <c r="T22" s="117">
        <v>4.8851121665141198E-3</v>
      </c>
      <c r="U22" s="117">
        <v>4.8916044425186597E-3</v>
      </c>
    </row>
    <row r="23" spans="1:21" s="117" customFormat="1" x14ac:dyDescent="0.35">
      <c r="A23" s="118"/>
      <c r="B23" s="118" t="s">
        <v>13</v>
      </c>
      <c r="C23" s="117">
        <v>24.9994961999999</v>
      </c>
      <c r="D23" s="117">
        <v>49.999492199999999</v>
      </c>
      <c r="E23" s="117">
        <v>109.999482599999</v>
      </c>
      <c r="F23" s="117">
        <v>14.999497799999901</v>
      </c>
      <c r="G23" s="117">
        <v>129.99947939999899</v>
      </c>
      <c r="H23" s="117">
        <v>14.999497799999901</v>
      </c>
      <c r="I23" s="117">
        <v>104.9994834</v>
      </c>
      <c r="J23" s="117">
        <v>14.999497799999901</v>
      </c>
      <c r="K23" s="117">
        <v>19.999497000000201</v>
      </c>
      <c r="L23" s="117">
        <v>14.9994978000004</v>
      </c>
      <c r="M23" s="117">
        <v>19.9994969999997</v>
      </c>
      <c r="N23" s="117">
        <v>174.99947220000001</v>
      </c>
      <c r="O23" s="117">
        <v>14.999497799999499</v>
      </c>
      <c r="P23" s="117">
        <v>9.99949860000015</v>
      </c>
      <c r="Q23" s="117">
        <v>234.99946259999999</v>
      </c>
      <c r="R23" s="117">
        <v>179.9994714</v>
      </c>
      <c r="S23" s="117">
        <v>34.999994399999103</v>
      </c>
      <c r="T23" s="117">
        <v>79.999487400000305</v>
      </c>
      <c r="U23" s="117">
        <v>34.999494600000602</v>
      </c>
    </row>
    <row r="26" spans="1:21" s="117" customFormat="1" x14ac:dyDescent="0.35">
      <c r="A26" s="118" t="s">
        <v>11</v>
      </c>
      <c r="B26" s="23">
        <v>19</v>
      </c>
    </row>
    <row r="27" spans="1:21" x14ac:dyDescent="0.35">
      <c r="J27" s="42"/>
    </row>
    <row r="28" spans="1:21" x14ac:dyDescent="0.35">
      <c r="C28" t="s">
        <v>7</v>
      </c>
      <c r="D28" t="s">
        <v>8</v>
      </c>
      <c r="F28" t="s">
        <v>9</v>
      </c>
      <c r="H28" t="s">
        <v>10</v>
      </c>
      <c r="I28" t="s">
        <v>12</v>
      </c>
    </row>
    <row r="29" spans="1:21" x14ac:dyDescent="0.35">
      <c r="A29" s="118" t="s">
        <v>1</v>
      </c>
      <c r="B29" s="23" t="s">
        <v>2</v>
      </c>
      <c r="C29" s="41">
        <f>AVERAGE(C7:XFD7)</f>
        <v>2.8695218318190715E-2</v>
      </c>
      <c r="D29" s="41">
        <f>_xlfn.STDEV.S(C7:XFD7)</f>
        <v>2.7631090577743323E-3</v>
      </c>
    </row>
    <row r="30" spans="1:21" x14ac:dyDescent="0.35">
      <c r="B30" s="23" t="s">
        <v>3</v>
      </c>
      <c r="C30" s="117">
        <f t="shared" ref="C30:C33" si="0">AVERAGE(C8:XFD8)</f>
        <v>267.42105263157896</v>
      </c>
      <c r="D30" s="117">
        <f t="shared" ref="D30:D33" si="1">_xlfn.STDEV.S(C8:XFD8)</f>
        <v>292.62667072748621</v>
      </c>
    </row>
    <row r="31" spans="1:21" s="43" customFormat="1" x14ac:dyDescent="0.35">
      <c r="A31" s="118"/>
      <c r="B31" s="43" t="s">
        <v>14</v>
      </c>
      <c r="C31" s="117">
        <f t="shared" si="0"/>
        <v>7.3900834282813162E-3</v>
      </c>
      <c r="D31" s="117">
        <f t="shared" si="1"/>
        <v>6.1885771163942109E-3</v>
      </c>
      <c r="F31" s="117"/>
    </row>
    <row r="32" spans="1:21" x14ac:dyDescent="0.35">
      <c r="B32" s="23" t="s">
        <v>4</v>
      </c>
      <c r="C32" s="117">
        <f t="shared" si="0"/>
        <v>3.2215032824560216E-2</v>
      </c>
      <c r="D32" s="117">
        <f t="shared" si="1"/>
        <v>4.3280316645130622E-3</v>
      </c>
    </row>
    <row r="33" spans="1:9" x14ac:dyDescent="0.35">
      <c r="B33" s="23" t="s">
        <v>5</v>
      </c>
      <c r="C33" s="117">
        <f t="shared" si="0"/>
        <v>5.2610526315789469E-4</v>
      </c>
      <c r="D33" s="117">
        <f t="shared" si="1"/>
        <v>1.1466198378850677E-4</v>
      </c>
      <c r="I33" s="41"/>
    </row>
    <row r="34" spans="1:9" x14ac:dyDescent="0.35">
      <c r="B34" s="23"/>
      <c r="C34" s="41"/>
      <c r="D34" s="41"/>
    </row>
    <row r="35" spans="1:9" x14ac:dyDescent="0.35">
      <c r="A35" s="118" t="s">
        <v>6</v>
      </c>
      <c r="B35" s="23" t="s">
        <v>2</v>
      </c>
      <c r="C35" s="117">
        <f>AVERAGE(C17:XFD17)</f>
        <v>2.8695218318190715E-2</v>
      </c>
      <c r="D35" s="117">
        <f>_xlfn.STDEV.S(C17:XFD17)</f>
        <v>2.7631090577743323E-3</v>
      </c>
      <c r="F35" s="41">
        <f>C29-C35</f>
        <v>0</v>
      </c>
      <c r="G35" s="41"/>
      <c r="H35" s="41">
        <f>SQRT((D29^2/$B$26)+(D35^2/$B$26))</f>
        <v>8.964709561828689E-4</v>
      </c>
      <c r="I35" s="41">
        <f>ABS(C29-C35)/H35</f>
        <v>0</v>
      </c>
    </row>
    <row r="36" spans="1:9" x14ac:dyDescent="0.35">
      <c r="B36" s="23" t="s">
        <v>3</v>
      </c>
      <c r="C36" s="117">
        <f t="shared" ref="C36:C39" si="2">AVERAGE(C18:XFD18)</f>
        <v>267.42105263157896</v>
      </c>
      <c r="D36" s="117">
        <f t="shared" ref="D36:D39" si="3">_xlfn.STDEV.S(C18:XFD18)</f>
        <v>292.62667072748621</v>
      </c>
      <c r="F36">
        <f>C30-C36</f>
        <v>0</v>
      </c>
      <c r="G36" s="23"/>
      <c r="H36" s="41">
        <f>SQRT((D30^2/$B$26)+(D36^2/$B$26))</f>
        <v>94.940628772353051</v>
      </c>
      <c r="I36" s="41">
        <f>ABS(C30-C36)/H36</f>
        <v>0</v>
      </c>
    </row>
    <row r="37" spans="1:9" s="43" customFormat="1" x14ac:dyDescent="0.35">
      <c r="A37" s="118"/>
      <c r="B37" s="43" t="s">
        <v>14</v>
      </c>
      <c r="C37" s="117">
        <f t="shared" si="2"/>
        <v>7.3900834282813162E-3</v>
      </c>
      <c r="D37" s="117">
        <f t="shared" si="3"/>
        <v>6.1885771163942109E-3</v>
      </c>
      <c r="F37" s="44">
        <f>C31-C37</f>
        <v>0</v>
      </c>
      <c r="H37" s="44">
        <f>SQRT((D31^2/$B$26)+(D37^2/$B$26))</f>
        <v>2.0078395491975711E-3</v>
      </c>
      <c r="I37" s="43">
        <f>ABS(C31-C37)/H37</f>
        <v>0</v>
      </c>
    </row>
    <row r="38" spans="1:9" x14ac:dyDescent="0.35">
      <c r="B38" s="23" t="s">
        <v>4</v>
      </c>
      <c r="C38" s="117">
        <f t="shared" si="2"/>
        <v>3.2215032824560216E-2</v>
      </c>
      <c r="D38" s="117">
        <f t="shared" si="3"/>
        <v>4.3280316645130622E-3</v>
      </c>
      <c r="F38" s="23">
        <f>C32-C38</f>
        <v>0</v>
      </c>
      <c r="G38" s="23"/>
      <c r="H38" s="41">
        <f>SQRT((D32^2/$B$26)+(D38^2/$B$26))</f>
        <v>1.4041988946324972E-3</v>
      </c>
      <c r="I38" s="41">
        <f>ABS(C32-C38)/H38</f>
        <v>0</v>
      </c>
    </row>
    <row r="39" spans="1:9" x14ac:dyDescent="0.35">
      <c r="B39" s="23" t="s">
        <v>5</v>
      </c>
      <c r="C39" s="117">
        <f t="shared" si="2"/>
        <v>5.2610526315789469E-4</v>
      </c>
      <c r="D39" s="117">
        <f t="shared" si="3"/>
        <v>1.1466198378850677E-4</v>
      </c>
      <c r="F39" s="23">
        <f>C33-C39</f>
        <v>0</v>
      </c>
      <c r="G39" s="23"/>
      <c r="H39" s="41">
        <f>SQRT((D33^2/$B$26)+(D39^2/$B$26))</f>
        <v>3.7201259919688052E-5</v>
      </c>
      <c r="I39" s="23">
        <f>ABS(C33-C39)/H39</f>
        <v>0</v>
      </c>
    </row>
    <row r="41" spans="1:9" x14ac:dyDescent="0.35">
      <c r="I41">
        <v>2.1309999999999998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R27"/>
  <sheetViews>
    <sheetView workbookViewId="0">
      <selection activeCell="F20" sqref="F20"/>
    </sheetView>
  </sheetViews>
  <sheetFormatPr defaultRowHeight="14.5" x14ac:dyDescent="0.35"/>
  <cols>
    <col min="1" max="1" width="11.1796875" style="43" bestFit="1" customWidth="1"/>
    <col min="2" max="2" width="13.1796875" style="43" bestFit="1" customWidth="1"/>
    <col min="3" max="14" width="8.7265625" style="43"/>
    <col min="15" max="15" width="11.81640625" style="43" bestFit="1" customWidth="1"/>
    <col min="16" max="16384" width="8.7265625" style="43"/>
  </cols>
  <sheetData>
    <row r="2" spans="3:18" x14ac:dyDescent="0.35">
      <c r="C2" s="87"/>
      <c r="D2" s="88"/>
      <c r="E2" s="89"/>
      <c r="F2" s="90"/>
      <c r="G2" s="91"/>
      <c r="H2" s="92"/>
      <c r="I2" s="93"/>
      <c r="J2" s="94"/>
      <c r="K2" s="95"/>
      <c r="L2" s="96"/>
      <c r="M2" s="97"/>
      <c r="N2" s="98"/>
      <c r="O2" s="99"/>
      <c r="P2" s="100"/>
      <c r="Q2" s="101"/>
    </row>
    <row r="3" spans="3:18" x14ac:dyDescent="0.35">
      <c r="C3" s="87"/>
      <c r="D3" s="88"/>
      <c r="E3" s="89"/>
      <c r="F3" s="90"/>
      <c r="G3" s="91"/>
      <c r="H3" s="92"/>
      <c r="I3" s="93"/>
      <c r="J3" s="94"/>
      <c r="K3" s="95"/>
      <c r="L3" s="96"/>
      <c r="M3" s="97"/>
      <c r="N3" s="98"/>
      <c r="O3" s="99"/>
      <c r="P3" s="100"/>
      <c r="Q3" s="101"/>
      <c r="R3" s="101"/>
    </row>
    <row r="4" spans="3:18" x14ac:dyDescent="0.35"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101"/>
    </row>
    <row r="5" spans="3:18" x14ac:dyDescent="0.35">
      <c r="C5" s="87"/>
      <c r="D5" s="88"/>
      <c r="E5" s="89"/>
      <c r="F5" s="90"/>
      <c r="G5" s="91"/>
      <c r="H5" s="92"/>
      <c r="I5" s="93"/>
      <c r="J5" s="94"/>
      <c r="K5" s="95"/>
      <c r="L5" s="96"/>
      <c r="M5" s="97"/>
      <c r="N5" s="98"/>
      <c r="O5" s="99"/>
      <c r="P5" s="100"/>
      <c r="Q5" s="101"/>
      <c r="R5" s="101"/>
    </row>
    <row r="6" spans="3:18" x14ac:dyDescent="0.35">
      <c r="C6" s="87"/>
      <c r="D6" s="88"/>
      <c r="E6" s="89"/>
      <c r="F6" s="90"/>
      <c r="G6" s="91"/>
      <c r="H6" s="92"/>
      <c r="I6" s="93"/>
      <c r="J6" s="94"/>
      <c r="K6" s="95"/>
      <c r="L6" s="96"/>
      <c r="M6" s="97"/>
      <c r="N6" s="98"/>
      <c r="O6" s="99"/>
      <c r="P6" s="100"/>
      <c r="Q6" s="101"/>
      <c r="R6" s="101"/>
    </row>
    <row r="7" spans="3:18" s="59" customFormat="1" x14ac:dyDescent="0.35">
      <c r="C7" s="116"/>
      <c r="D7" s="115"/>
      <c r="E7" s="114"/>
      <c r="F7" s="113"/>
      <c r="G7" s="112"/>
      <c r="H7" s="111"/>
      <c r="I7" s="110"/>
      <c r="J7" s="109"/>
      <c r="K7" s="108"/>
      <c r="L7" s="107"/>
      <c r="M7" s="106"/>
      <c r="N7" s="105"/>
      <c r="O7" s="104"/>
      <c r="P7" s="103"/>
      <c r="Q7" s="102"/>
    </row>
    <row r="9" spans="3:18" x14ac:dyDescent="0.35">
      <c r="C9" s="45"/>
      <c r="D9" s="48"/>
      <c r="E9" s="49"/>
      <c r="F9" s="50"/>
      <c r="G9" s="51"/>
      <c r="H9" s="52"/>
      <c r="I9" s="53"/>
      <c r="J9" s="54"/>
      <c r="K9" s="55"/>
      <c r="L9" s="56"/>
      <c r="M9" s="57"/>
      <c r="N9" s="58"/>
      <c r="O9" s="59"/>
      <c r="P9" s="47"/>
      <c r="Q9" s="46"/>
    </row>
    <row r="10" spans="3:18" x14ac:dyDescent="0.35">
      <c r="C10" s="45"/>
      <c r="D10" s="48"/>
      <c r="E10" s="49"/>
      <c r="F10" s="50"/>
      <c r="G10" s="51"/>
      <c r="H10" s="52"/>
      <c r="I10" s="53"/>
      <c r="J10" s="54"/>
      <c r="K10" s="55"/>
      <c r="L10" s="56"/>
      <c r="M10" s="57"/>
      <c r="N10" s="58"/>
      <c r="O10" s="59"/>
      <c r="P10" s="47"/>
      <c r="Q10" s="46"/>
      <c r="R10" s="46"/>
    </row>
    <row r="11" spans="3:18" x14ac:dyDescent="0.35"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6"/>
    </row>
    <row r="12" spans="3:18" x14ac:dyDescent="0.35">
      <c r="C12" s="45"/>
      <c r="D12" s="75"/>
      <c r="E12" s="76"/>
      <c r="F12" s="77"/>
      <c r="G12" s="78"/>
      <c r="H12" s="78"/>
      <c r="I12" s="79"/>
      <c r="J12" s="80"/>
      <c r="K12" s="81"/>
      <c r="L12" s="82"/>
      <c r="M12" s="83"/>
      <c r="N12" s="84"/>
      <c r="O12" s="85"/>
      <c r="P12" s="86"/>
      <c r="Q12" s="46"/>
      <c r="R12" s="46"/>
    </row>
    <row r="13" spans="3:18" x14ac:dyDescent="0.35">
      <c r="C13" s="45"/>
      <c r="D13" s="75"/>
      <c r="E13" s="76"/>
      <c r="F13" s="77"/>
      <c r="G13" s="78"/>
      <c r="H13" s="78"/>
      <c r="I13" s="79"/>
      <c r="J13" s="80"/>
      <c r="K13" s="81"/>
      <c r="L13" s="82"/>
      <c r="M13" s="83"/>
      <c r="N13" s="84"/>
      <c r="O13" s="85"/>
      <c r="P13" s="86"/>
      <c r="Q13" s="46"/>
      <c r="R13" s="46"/>
    </row>
    <row r="14" spans="3:18" s="59" customFormat="1" x14ac:dyDescent="0.35">
      <c r="C14" s="74"/>
      <c r="D14" s="73"/>
      <c r="E14" s="72"/>
      <c r="F14" s="71"/>
      <c r="G14" s="70"/>
      <c r="H14" s="69"/>
      <c r="I14" s="68"/>
      <c r="J14" s="67"/>
      <c r="K14" s="66"/>
      <c r="L14" s="65"/>
      <c r="M14" s="64"/>
      <c r="N14" s="63"/>
      <c r="O14" s="62"/>
      <c r="P14" s="61"/>
      <c r="Q14" s="60"/>
    </row>
    <row r="15" spans="3:18" x14ac:dyDescent="0.35">
      <c r="O15" s="59"/>
      <c r="P15" s="59"/>
    </row>
    <row r="21" spans="3:8" x14ac:dyDescent="0.35">
      <c r="C21" s="44"/>
      <c r="D21" s="44"/>
    </row>
    <row r="27" spans="3:8" x14ac:dyDescent="0.35">
      <c r="C27" s="44"/>
      <c r="D27" s="44"/>
      <c r="E27" s="44"/>
      <c r="F27" s="44"/>
      <c r="G27" s="44"/>
      <c r="H27" s="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Wang</dc:creator>
  <cp:lastModifiedBy>Jeffrey Wang</cp:lastModifiedBy>
  <dcterms:created xsi:type="dcterms:W3CDTF">2018-07-09T16:06:41Z</dcterms:created>
  <dcterms:modified xsi:type="dcterms:W3CDTF">2020-02-08T06:50:28Z</dcterms:modified>
</cp:coreProperties>
</file>